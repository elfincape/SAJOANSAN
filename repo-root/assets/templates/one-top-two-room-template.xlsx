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5074175-6475-4BDB-969C-89E70C17C1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B40" i="1"/>
  <c r="B56" i="1" l="1"/>
  <c r="B66" i="1"/>
  <c r="B65" i="1" l="1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7" i="1"/>
  <c r="B58" i="1"/>
  <c r="B59" i="1"/>
  <c r="B60" i="1"/>
  <c r="B61" i="1"/>
  <c r="B62" i="1"/>
  <c r="B63" i="1"/>
  <c r="B64" i="1"/>
  <c r="B6" i="1" l="1"/>
  <c r="B5" i="1"/>
</calcChain>
</file>

<file path=xl/sharedStrings.xml><?xml version="1.0" encoding="utf-8"?>
<sst xmlns="http://schemas.openxmlformats.org/spreadsheetml/2006/main" count="516" uniqueCount="147">
  <si>
    <t>순서</t>
    <phoneticPr fontId="2" type="noConversion"/>
  </si>
  <si>
    <t>지사</t>
    <phoneticPr fontId="2" type="noConversion"/>
  </si>
  <si>
    <t>센터</t>
  </si>
  <si>
    <t>일자</t>
  </si>
  <si>
    <t>운송사</t>
  </si>
  <si>
    <t>DM</t>
  </si>
  <si>
    <t>차량번호</t>
  </si>
  <si>
    <t>고정/임시</t>
    <phoneticPr fontId="2" type="noConversion"/>
  </si>
  <si>
    <t>준수여부</t>
  </si>
  <si>
    <t>칸막이</t>
    <phoneticPr fontId="2" type="noConversion"/>
  </si>
  <si>
    <t>사진</t>
  </si>
  <si>
    <t>비고</t>
  </si>
  <si>
    <t>구획분리</t>
  </si>
  <si>
    <t>온도기록지</t>
  </si>
  <si>
    <t>운영6지사</t>
    <phoneticPr fontId="2" type="noConversion"/>
  </si>
  <si>
    <t>안산사조센터</t>
  </si>
  <si>
    <t>이안물류</t>
    <phoneticPr fontId="2" type="noConversion"/>
  </si>
  <si>
    <t>이대형</t>
  </si>
  <si>
    <t>경기82바3481</t>
  </si>
  <si>
    <t>고정</t>
    <phoneticPr fontId="2" type="noConversion"/>
  </si>
  <si>
    <t>X</t>
  </si>
  <si>
    <t>신승철</t>
  </si>
  <si>
    <t>경기93자4252</t>
  </si>
  <si>
    <t>이현호</t>
  </si>
  <si>
    <t>서울86바3204</t>
  </si>
  <si>
    <t>이주일</t>
  </si>
  <si>
    <t>경기86아2421</t>
  </si>
  <si>
    <t>정민수</t>
  </si>
  <si>
    <t>경기80바5725</t>
  </si>
  <si>
    <t>김남현</t>
  </si>
  <si>
    <t>경기89자1462</t>
  </si>
  <si>
    <t>서재현</t>
  </si>
  <si>
    <t>경기81바6617</t>
  </si>
  <si>
    <t>김준성</t>
  </si>
  <si>
    <t>경기83사6939</t>
  </si>
  <si>
    <t>손성준</t>
  </si>
  <si>
    <t>경기92자3296</t>
  </si>
  <si>
    <t>김윤철</t>
  </si>
  <si>
    <t>경기82바6976</t>
  </si>
  <si>
    <t>정인규</t>
  </si>
  <si>
    <t>서울90아1318</t>
  </si>
  <si>
    <t>신백용</t>
  </si>
  <si>
    <t>제주96바6806</t>
  </si>
  <si>
    <t>김상윤</t>
  </si>
  <si>
    <t>서울83사6985</t>
  </si>
  <si>
    <t>이종덕</t>
  </si>
  <si>
    <t>서울82바2874</t>
  </si>
  <si>
    <t>서울88사8348</t>
  </si>
  <si>
    <t>박재원</t>
  </si>
  <si>
    <t>서울83사7349</t>
  </si>
  <si>
    <t>이봉선</t>
  </si>
  <si>
    <t>경기91자7930</t>
  </si>
  <si>
    <t>이성용</t>
  </si>
  <si>
    <t>경기90자7004</t>
  </si>
  <si>
    <t>유병관</t>
  </si>
  <si>
    <t>이인환</t>
  </si>
  <si>
    <t>임종팔</t>
  </si>
  <si>
    <t>충남84사2055</t>
  </si>
  <si>
    <t>김장섭</t>
  </si>
  <si>
    <t>경기82바2906</t>
  </si>
  <si>
    <t>김기석</t>
  </si>
  <si>
    <t>강병균</t>
  </si>
  <si>
    <t>손효성</t>
  </si>
  <si>
    <t>최광훈</t>
  </si>
  <si>
    <t>강춘식</t>
  </si>
  <si>
    <t>경기94아9631</t>
  </si>
  <si>
    <t>이원학</t>
  </si>
  <si>
    <t>한문수</t>
  </si>
  <si>
    <t>경기94아9318</t>
  </si>
  <si>
    <t>권철</t>
  </si>
  <si>
    <t>인천83바3745</t>
  </si>
  <si>
    <t>정성일</t>
  </si>
  <si>
    <t>경기94아5911</t>
  </si>
  <si>
    <t>김경완</t>
  </si>
  <si>
    <t>경기94아9619</t>
  </si>
  <si>
    <t>정두회</t>
  </si>
  <si>
    <t>경기91자7752</t>
  </si>
  <si>
    <t>김규창</t>
  </si>
  <si>
    <t>이정중</t>
  </si>
  <si>
    <t>남정운</t>
  </si>
  <si>
    <t>박준우</t>
  </si>
  <si>
    <t>경기86아2957</t>
  </si>
  <si>
    <t>최형세</t>
  </si>
  <si>
    <t>임경영</t>
  </si>
  <si>
    <t>장찬기</t>
  </si>
  <si>
    <t>광역</t>
    <phoneticPr fontId="2" type="noConversion"/>
  </si>
  <si>
    <t>운영6지사</t>
  </si>
  <si>
    <t>준수</t>
  </si>
  <si>
    <t>경기91아6175</t>
  </si>
  <si>
    <t>유신호</t>
    <phoneticPr fontId="2" type="noConversion"/>
  </si>
  <si>
    <t>서울90바3161</t>
    <phoneticPr fontId="6" type="noConversion"/>
  </si>
  <si>
    <t>김영대</t>
    <phoneticPr fontId="2" type="noConversion"/>
  </si>
  <si>
    <t>김종남</t>
    <phoneticPr fontId="2" type="noConversion"/>
  </si>
  <si>
    <t>하기수</t>
    <phoneticPr fontId="2" type="noConversion"/>
  </si>
  <si>
    <t>노준태</t>
    <phoneticPr fontId="2" type="noConversion"/>
  </si>
  <si>
    <t>한승우</t>
    <phoneticPr fontId="2" type="noConversion"/>
  </si>
  <si>
    <t>인천81바4575</t>
  </si>
  <si>
    <t>경기96자8104</t>
  </si>
  <si>
    <t>온도</t>
  </si>
  <si>
    <t>정상여부</t>
    <phoneticPr fontId="2" type="noConversion"/>
  </si>
  <si>
    <t>냉동</t>
  </si>
  <si>
    <t>냉장</t>
  </si>
  <si>
    <t>냉동</t>
    <phoneticPr fontId="2" type="noConversion"/>
  </si>
  <si>
    <t>냉장</t>
    <phoneticPr fontId="2" type="noConversion"/>
  </si>
  <si>
    <t>조정원</t>
    <phoneticPr fontId="2" type="noConversion"/>
  </si>
  <si>
    <t>경기85아2508</t>
    <phoneticPr fontId="2" type="noConversion"/>
  </si>
  <si>
    <t>경기94아6051</t>
    <phoneticPr fontId="2" type="noConversion"/>
  </si>
  <si>
    <t>경기93자2562</t>
    <phoneticPr fontId="2" type="noConversion"/>
  </si>
  <si>
    <t>경기86아2422</t>
    <phoneticPr fontId="2" type="noConversion"/>
  </si>
  <si>
    <t>장덕수</t>
    <phoneticPr fontId="2" type="noConversion"/>
  </si>
  <si>
    <t>서울84사8354</t>
    <phoneticPr fontId="2" type="noConversion"/>
  </si>
  <si>
    <t>경기91바9153</t>
    <phoneticPr fontId="2" type="noConversion"/>
  </si>
  <si>
    <t>최귀동</t>
    <phoneticPr fontId="2" type="noConversion"/>
  </si>
  <si>
    <t>윤기호</t>
  </si>
  <si>
    <t>임채문</t>
    <phoneticPr fontId="2" type="noConversion"/>
  </si>
  <si>
    <t>임승규</t>
  </si>
  <si>
    <t>경기90사2908</t>
    <phoneticPr fontId="2" type="noConversion"/>
  </si>
  <si>
    <t>경기94사5527</t>
    <phoneticPr fontId="2" type="noConversion"/>
  </si>
  <si>
    <t>서울80바6357</t>
    <phoneticPr fontId="2" type="noConversion"/>
  </si>
  <si>
    <t>장호연</t>
  </si>
  <si>
    <t>경기85바5293</t>
    <phoneticPr fontId="2" type="noConversion"/>
  </si>
  <si>
    <t>조영태</t>
    <phoneticPr fontId="2" type="noConversion"/>
  </si>
  <si>
    <t>서울84사4263</t>
    <phoneticPr fontId="2" type="noConversion"/>
  </si>
  <si>
    <t>경기94사5994</t>
    <phoneticPr fontId="6" type="noConversion"/>
  </si>
  <si>
    <t>경기92아8510</t>
    <phoneticPr fontId="2" type="noConversion"/>
  </si>
  <si>
    <t>경기89바1893</t>
    <phoneticPr fontId="2" type="noConversion"/>
  </si>
  <si>
    <t>서울82바9740</t>
    <phoneticPr fontId="2" type="noConversion"/>
  </si>
  <si>
    <t>경기91자6480</t>
    <phoneticPr fontId="2" type="noConversion"/>
  </si>
  <si>
    <t>박준수</t>
    <phoneticPr fontId="2" type="noConversion"/>
  </si>
  <si>
    <t>경기80사8432</t>
    <phoneticPr fontId="2" type="noConversion"/>
  </si>
  <si>
    <t>경기95사2651</t>
  </si>
  <si>
    <t>경기90자9936</t>
  </si>
  <si>
    <t>정서현
(빅토르)</t>
    <phoneticPr fontId="2" type="noConversion"/>
  </si>
  <si>
    <t>준수</t>
    <phoneticPr fontId="2" type="noConversion"/>
  </si>
  <si>
    <t>충북92아1724</t>
    <phoneticPr fontId="2" type="noConversion"/>
  </si>
  <si>
    <t>경기94아9619</t>
    <phoneticPr fontId="2" type="noConversion"/>
  </si>
  <si>
    <t>이효주</t>
    <phoneticPr fontId="2" type="noConversion"/>
  </si>
  <si>
    <t>경기90자8264</t>
    <phoneticPr fontId="2" type="noConversion"/>
  </si>
  <si>
    <t>경기90아6357</t>
    <phoneticPr fontId="2" type="noConversion"/>
  </si>
  <si>
    <t>경기84아3610</t>
    <phoneticPr fontId="2" type="noConversion"/>
  </si>
  <si>
    <t xml:space="preserve">차종철 </t>
    <phoneticPr fontId="2" type="noConversion"/>
  </si>
  <si>
    <t>경기91아7148</t>
  </si>
  <si>
    <t>경기88자2781</t>
    <phoneticPr fontId="2" type="noConversion"/>
  </si>
  <si>
    <t>김태형</t>
    <phoneticPr fontId="2" type="noConversion"/>
  </si>
  <si>
    <t>경기94자7146</t>
    <phoneticPr fontId="2" type="noConversion"/>
  </si>
  <si>
    <t>전남89바5363</t>
    <phoneticPr fontId="2" type="noConversion"/>
  </si>
  <si>
    <t>경기92사6867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</si>
</sst>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General&quot;일&quot;"/>
    <numFmt numFmtId="177" formatCode="#,##0.0\ \ ;[Red]\-#,##0.0\ \ ;&quot;-  &quot;"/>
    <numFmt numFmtId="178" formatCode="mm&quot;월&quot;\ dd&quot;일&quot;"/>
  </numFmts>
  <fonts count="10">
    <font>
      <sz val="11"/>
      <color theme="1"/>
      <name val="맑은 고딕"/>
      <family val="2"/>
      <charset val="129"/>
      <scheme val="minor"/>
    </font>
    <font>
      <sz val="11"/>
      <color theme="1"/>
      <name val="CJ ONLYONE NEW 본문 Light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CJ ONLYONE NEW 본문 Light"/>
      <family val="3"/>
      <charset val="129"/>
    </font>
    <font>
      <b/>
      <sz val="11"/>
      <color theme="1"/>
      <name val="CJ ONLYONE NEW 본문 Light"/>
      <family val="3"/>
      <charset val="129"/>
    </font>
    <font>
      <sz val="10"/>
      <color theme="1"/>
      <name val="CJ ONLYONE NEW 본문 Light"/>
      <family val="3"/>
      <charset val="129"/>
    </font>
    <font>
      <sz val="8"/>
      <name val="맑은 고딕"/>
      <family val="3"/>
      <charset val="129"/>
    </font>
    <font>
      <sz val="10"/>
      <color theme="1"/>
      <name val="Arial"/>
      <family val="2"/>
    </font>
    <font>
      <sz val="11"/>
      <color theme="0"/>
      <name val="CJ ONLYONE NEW 본문 Light"/>
      <family val="3"/>
      <charset val="129"/>
    </font>
    <font>
      <sz val="11"/>
      <name val="CJ ONLYONE NEW 본문 Light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6" fontId="1" fillId="0" borderId="8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1" fillId="3" borderId="3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8" fontId="5" fillId="0" borderId="10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9">
    <dxf>
      <font>
        <color rgb="FFFF0000"/>
      </font>
      <fill>
        <patternFill>
          <bgColor theme="0" tint="-4.9989318521683403E-2"/>
        </patternFill>
      </fill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FF0000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  <dxf>
      <font>
        <b/>
        <i val="0"/>
        <color rgb="FFFFFF00"/>
      </font>
      <fill>
        <patternFill>
          <bgColor rgb="FFFF000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color rgb="FFFF0000"/>
      </font>
    </dxf>
    <dxf>
      <font>
        <b/>
        <i val="0"/>
        <color theme="9" tint="-0.24994659260841701"/>
      </font>
      <fill>
        <patternFill>
          <bgColor theme="9" tint="0.79998168889431442"/>
        </patternFill>
      </fill>
    </dxf>
    <dxf>
      <font>
        <b/>
        <i val="0"/>
        <color theme="7" tint="-0.24994659260841701"/>
      </font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2:S66"/>
  <sheetViews>
    <sheetView tabSelected="1" topLeftCell="A27" zoomScale="85" zoomScaleNormal="85" workbookViewId="0">
      <selection activeCell="H21" sqref="H21"/>
    </sheetView>
  </sheetViews>
  <sheetFormatPr defaultColWidth="8.75" defaultRowHeight="13.5"/>
  <cols>
    <col min="1" max="1" width="6.5" style="1" bestFit="1" customWidth="1"/>
    <col min="2" max="2" width="5.75" style="1" customWidth="1"/>
    <col min="3" max="3" width="13" style="1" customWidth="1"/>
    <col min="4" max="4" width="20.625" style="1" bestFit="1" customWidth="1"/>
    <col min="5" max="5" width="10" style="1" bestFit="1" customWidth="1"/>
    <col min="6" max="6" width="17" style="1" customWidth="1"/>
    <col min="7" max="7" width="9.875" style="14" customWidth="1"/>
    <col min="8" max="8" width="16.25" style="14" customWidth="1"/>
    <col min="9" max="9" width="9.5" style="1" bestFit="1" customWidth="1"/>
    <col min="10" max="15" width="9.125" style="1" customWidth="1"/>
    <col min="16" max="17" width="30.625" style="1" customWidth="1"/>
    <col min="18" max="18" width="27.125" style="1" customWidth="1"/>
    <col min="19" max="19" width="8.75" style="14"/>
    <col min="20" max="16384" width="8.75" style="1"/>
  </cols>
  <sheetData>
    <row r="2" spans="2:19">
      <c r="S2" s="16"/>
    </row>
    <row r="3" spans="2:19">
      <c r="B3" s="29" t="s">
        <v>0</v>
      </c>
      <c r="C3" s="23" t="s">
        <v>1</v>
      </c>
      <c r="D3" s="23" t="s">
        <v>2</v>
      </c>
      <c r="E3" s="23" t="s">
        <v>3</v>
      </c>
      <c r="F3" s="23" t="s">
        <v>4</v>
      </c>
      <c r="G3" s="23" t="s">
        <v>5</v>
      </c>
      <c r="H3" s="23" t="s">
        <v>6</v>
      </c>
      <c r="I3" s="23" t="s">
        <v>7</v>
      </c>
      <c r="J3" s="19" t="s">
        <v>98</v>
      </c>
      <c r="K3" s="20"/>
      <c r="L3" s="25" t="s">
        <v>99</v>
      </c>
      <c r="M3" s="26"/>
      <c r="N3" s="27" t="s">
        <v>8</v>
      </c>
      <c r="O3" s="23" t="s">
        <v>9</v>
      </c>
      <c r="P3" s="19" t="s">
        <v>10</v>
      </c>
      <c r="Q3" s="20"/>
      <c r="R3" s="21" t="s">
        <v>11</v>
      </c>
      <c r="S3" s="16"/>
    </row>
    <row r="4" spans="2:19">
      <c r="B4" s="30"/>
      <c r="C4" s="24"/>
      <c r="D4" s="24"/>
      <c r="E4" s="24"/>
      <c r="F4" s="24"/>
      <c r="G4" s="24"/>
      <c r="H4" s="24"/>
      <c r="I4" s="24"/>
      <c r="J4" s="2" t="s">
        <v>100</v>
      </c>
      <c r="K4" s="2" t="s">
        <v>101</v>
      </c>
      <c r="L4" s="3" t="s">
        <v>102</v>
      </c>
      <c r="M4" s="3" t="s">
        <v>103</v>
      </c>
      <c r="N4" s="28"/>
      <c r="O4" s="24"/>
      <c r="P4" s="2" t="s">
        <v>12</v>
      </c>
      <c r="Q4" s="2" t="s">
        <v>13</v>
      </c>
      <c r="R4" s="22"/>
      <c r="S4" s="16"/>
    </row>
    <row r="5" spans="2:19" ht="99.75" customHeight="1">
      <c r="B5" s="4">
        <f>+ROW()-4</f>
        <v>1</v>
      </c>
      <c r="C5" s="4" t="s">
        <v>14</v>
      </c>
      <c r="D5" s="5" t="s">
        <v>15</v>
      </c>
      <c r="E5" s="6"/>
      <c r="F5" s="7" t="s">
        <v>16</v>
      </c>
      <c r="G5" s="7" t="s">
        <v>17</v>
      </c>
      <c r="H5" s="7" t="s">
        <v>18</v>
      </c>
      <c r="I5" s="5" t="s">
        <v>19</v>
      </c>
      <c r="J5" s="8"/>
      <c r="K5" s="7"/>
      <c r="L5" s="5"/>
      <c r="M5" s="5"/>
      <c r="N5" s="11" t="s">
        <v>87</v>
      </c>
      <c r="O5" s="5" t="s">
        <v>20</v>
      </c>
      <c r="P5" s="10"/>
      <c r="Q5" s="10"/>
      <c r="R5" s="9"/>
      <c r="S5" s="15"/>
    </row>
    <row r="6" spans="2:19" ht="99.75" customHeight="1">
      <c r="B6" s="4">
        <f>+ROW()-4</f>
        <v>2</v>
      </c>
      <c r="C6" s="4" t="s">
        <v>86</v>
      </c>
      <c r="D6" s="5" t="s">
        <v>15</v>
      </c>
      <c r="E6" s="6"/>
      <c r="F6" s="7" t="s">
        <v>16</v>
      </c>
      <c r="G6" s="7" t="s">
        <v>21</v>
      </c>
      <c r="H6" s="7" t="s">
        <v>22</v>
      </c>
      <c r="I6" s="5" t="s">
        <v>19</v>
      </c>
      <c r="J6" s="8"/>
      <c r="K6" s="7"/>
      <c r="L6" s="5"/>
      <c r="M6" s="5"/>
      <c r="N6" s="11" t="s">
        <v>87</v>
      </c>
      <c r="O6" s="5" t="s">
        <v>20</v>
      </c>
      <c r="P6" s="10"/>
      <c r="Q6" s="10"/>
      <c r="R6" s="9"/>
      <c r="S6" s="15"/>
    </row>
    <row r="7" spans="2:19" ht="99.75" customHeight="1">
      <c r="B7" s="4">
        <f t="shared" ref="B7:B66" si="0">+ROW()-4</f>
        <v>3</v>
      </c>
      <c r="C7" s="4" t="s">
        <v>86</v>
      </c>
      <c r="D7" s="5" t="s">
        <v>15</v>
      </c>
      <c r="E7" s="6"/>
      <c r="F7" s="7" t="s">
        <v>16</v>
      </c>
      <c r="G7" s="7" t="s">
        <v>23</v>
      </c>
      <c r="H7" s="7" t="s">
        <v>24</v>
      </c>
      <c r="I7" s="5" t="s">
        <v>19</v>
      </c>
      <c r="J7" s="8"/>
      <c r="K7" s="7"/>
      <c r="L7" s="5"/>
      <c r="M7" s="5"/>
      <c r="N7" s="11" t="s">
        <v>133</v>
      </c>
      <c r="O7" s="5" t="s">
        <v>20</v>
      </c>
      <c r="P7" s="10"/>
      <c r="Q7" s="10"/>
      <c r="R7" s="9"/>
      <c r="S7" s="15"/>
    </row>
    <row r="8" spans="2:19" ht="99.75" customHeight="1">
      <c r="B8" s="4">
        <f t="shared" si="0"/>
        <v>4</v>
      </c>
      <c r="C8" s="4" t="s">
        <v>86</v>
      </c>
      <c r="D8" s="5" t="s">
        <v>15</v>
      </c>
      <c r="E8" s="6"/>
      <c r="F8" s="7" t="s">
        <v>16</v>
      </c>
      <c r="G8" s="7" t="s">
        <v>25</v>
      </c>
      <c r="H8" s="7" t="s">
        <v>26</v>
      </c>
      <c r="I8" s="5" t="s">
        <v>19</v>
      </c>
      <c r="J8" s="8"/>
      <c r="K8" s="7"/>
      <c r="L8" s="5"/>
      <c r="M8" s="5"/>
      <c r="N8" s="11" t="s">
        <v>87</v>
      </c>
      <c r="O8" s="5" t="s">
        <v>20</v>
      </c>
      <c r="P8" s="7"/>
      <c r="Q8" s="7"/>
      <c r="R8" s="9"/>
      <c r="S8" s="15"/>
    </row>
    <row r="9" spans="2:19" ht="99.75" customHeight="1">
      <c r="B9" s="4">
        <f t="shared" si="0"/>
        <v>5</v>
      </c>
      <c r="C9" s="4" t="s">
        <v>86</v>
      </c>
      <c r="D9" s="5" t="s">
        <v>15</v>
      </c>
      <c r="E9" s="6"/>
      <c r="F9" s="7" t="s">
        <v>16</v>
      </c>
      <c r="G9" s="7" t="s">
        <v>27</v>
      </c>
      <c r="H9" s="7" t="s">
        <v>28</v>
      </c>
      <c r="I9" s="5" t="s">
        <v>19</v>
      </c>
      <c r="J9" s="8"/>
      <c r="K9" s="7"/>
      <c r="L9" s="5"/>
      <c r="M9" s="5"/>
      <c r="N9" s="11" t="s">
        <v>87</v>
      </c>
      <c r="O9" s="5" t="s">
        <v>20</v>
      </c>
      <c r="P9" s="7"/>
      <c r="Q9" s="7"/>
      <c r="R9" s="9"/>
      <c r="S9" s="15"/>
    </row>
    <row r="10" spans="2:19" ht="99.75" customHeight="1">
      <c r="B10" s="4">
        <f t="shared" si="0"/>
        <v>6</v>
      </c>
      <c r="C10" s="4" t="s">
        <v>86</v>
      </c>
      <c r="D10" s="5" t="s">
        <v>15</v>
      </c>
      <c r="E10" s="6"/>
      <c r="F10" s="7" t="s">
        <v>16</v>
      </c>
      <c r="G10" s="7" t="s">
        <v>29</v>
      </c>
      <c r="H10" s="7" t="s">
        <v>30</v>
      </c>
      <c r="I10" s="5" t="s">
        <v>19</v>
      </c>
      <c r="J10" s="8"/>
      <c r="K10" s="7"/>
      <c r="L10" s="5"/>
      <c r="M10" s="5"/>
      <c r="N10" s="11" t="s">
        <v>87</v>
      </c>
      <c r="O10" s="5" t="s">
        <v>20</v>
      </c>
      <c r="P10" s="7"/>
      <c r="Q10" s="7"/>
      <c r="R10" s="9"/>
      <c r="S10" s="15"/>
    </row>
    <row r="11" spans="2:19" ht="99.75" customHeight="1">
      <c r="B11" s="4">
        <f t="shared" si="0"/>
        <v>7</v>
      </c>
      <c r="C11" s="4" t="s">
        <v>86</v>
      </c>
      <c r="D11" s="5" t="s">
        <v>15</v>
      </c>
      <c r="E11" s="6"/>
      <c r="F11" s="7" t="s">
        <v>16</v>
      </c>
      <c r="G11" s="7" t="s">
        <v>104</v>
      </c>
      <c r="H11" s="7" t="s">
        <v>105</v>
      </c>
      <c r="I11" s="5" t="s">
        <v>19</v>
      </c>
      <c r="J11" s="8"/>
      <c r="K11" s="7"/>
      <c r="L11" s="5"/>
      <c r="M11" s="5"/>
      <c r="N11" s="11" t="s">
        <v>87</v>
      </c>
      <c r="O11" s="5" t="s">
        <v>20</v>
      </c>
      <c r="P11" s="7"/>
      <c r="Q11" s="7"/>
      <c r="R11" s="9"/>
      <c r="S11" s="15"/>
    </row>
    <row r="12" spans="2:19" ht="99.75" customHeight="1">
      <c r="B12" s="4">
        <f t="shared" si="0"/>
        <v>8</v>
      </c>
      <c r="C12" s="4" t="s">
        <v>86</v>
      </c>
      <c r="D12" s="5" t="s">
        <v>15</v>
      </c>
      <c r="E12" s="6"/>
      <c r="F12" s="7" t="s">
        <v>16</v>
      </c>
      <c r="G12" s="7" t="s">
        <v>31</v>
      </c>
      <c r="H12" s="7" t="s">
        <v>32</v>
      </c>
      <c r="I12" s="5" t="s">
        <v>19</v>
      </c>
      <c r="J12" s="8"/>
      <c r="K12" s="7"/>
      <c r="L12" s="5"/>
      <c r="M12" s="5"/>
      <c r="N12" s="11" t="s">
        <v>87</v>
      </c>
      <c r="O12" s="5" t="s">
        <v>20</v>
      </c>
      <c r="P12" s="7"/>
      <c r="Q12" s="7"/>
      <c r="R12" s="9"/>
      <c r="S12" s="15"/>
    </row>
    <row r="13" spans="2:19" ht="99.75" customHeight="1">
      <c r="B13" s="4">
        <f t="shared" si="0"/>
        <v>9</v>
      </c>
      <c r="C13" s="4" t="s">
        <v>86</v>
      </c>
      <c r="D13" s="5" t="s">
        <v>15</v>
      </c>
      <c r="E13" s="6"/>
      <c r="F13" s="7" t="s">
        <v>16</v>
      </c>
      <c r="G13" s="7" t="s">
        <v>33</v>
      </c>
      <c r="H13" s="7" t="s">
        <v>34</v>
      </c>
      <c r="I13" s="5" t="s">
        <v>19</v>
      </c>
      <c r="J13" s="8"/>
      <c r="K13" s="7"/>
      <c r="L13" s="5"/>
      <c r="M13" s="5"/>
      <c r="N13" s="11" t="s">
        <v>87</v>
      </c>
      <c r="O13" s="5" t="s">
        <v>20</v>
      </c>
      <c r="P13" s="7"/>
      <c r="Q13" s="7"/>
      <c r="R13" s="9"/>
      <c r="S13" s="15"/>
    </row>
    <row r="14" spans="2:19" ht="99.75" customHeight="1">
      <c r="B14" s="4">
        <f t="shared" si="0"/>
        <v>10</v>
      </c>
      <c r="C14" s="4" t="s">
        <v>86</v>
      </c>
      <c r="D14" s="5" t="s">
        <v>15</v>
      </c>
      <c r="E14" s="6"/>
      <c r="F14" s="7" t="s">
        <v>16</v>
      </c>
      <c r="G14" s="7" t="s">
        <v>95</v>
      </c>
      <c r="H14" s="7" t="s">
        <v>97</v>
      </c>
      <c r="I14" s="5" t="s">
        <v>19</v>
      </c>
      <c r="J14" s="8"/>
      <c r="K14" s="7"/>
      <c r="L14" s="5"/>
      <c r="M14" s="5"/>
      <c r="N14" s="11" t="s">
        <v>87</v>
      </c>
      <c r="O14" s="5" t="s">
        <v>20</v>
      </c>
      <c r="P14" s="7"/>
      <c r="Q14" s="7"/>
      <c r="R14" s="9"/>
      <c r="S14" s="15"/>
    </row>
    <row r="15" spans="2:19" ht="99.75" customHeight="1">
      <c r="B15" s="4">
        <f t="shared" si="0"/>
        <v>11</v>
      </c>
      <c r="C15" s="4" t="s">
        <v>86</v>
      </c>
      <c r="D15" s="5" t="s">
        <v>15</v>
      </c>
      <c r="E15" s="6"/>
      <c r="F15" s="7" t="s">
        <v>16</v>
      </c>
      <c r="G15" s="7" t="s">
        <v>143</v>
      </c>
      <c r="H15" s="7" t="s">
        <v>111</v>
      </c>
      <c r="I15" s="5" t="s">
        <v>19</v>
      </c>
      <c r="J15" s="8"/>
      <c r="K15" s="7"/>
      <c r="L15" s="5"/>
      <c r="M15" s="5"/>
      <c r="N15" s="11" t="s">
        <v>87</v>
      </c>
      <c r="O15" s="5" t="s">
        <v>20</v>
      </c>
      <c r="P15" s="7"/>
      <c r="Q15" s="7"/>
      <c r="R15" s="9"/>
      <c r="S15" s="15"/>
    </row>
    <row r="16" spans="2:19" ht="99.75" customHeight="1">
      <c r="B16" s="4">
        <f t="shared" si="0"/>
        <v>12</v>
      </c>
      <c r="C16" s="4" t="s">
        <v>86</v>
      </c>
      <c r="D16" s="5" t="s">
        <v>15</v>
      </c>
      <c r="E16" s="6"/>
      <c r="F16" s="7" t="s">
        <v>16</v>
      </c>
      <c r="G16" s="7" t="s">
        <v>35</v>
      </c>
      <c r="H16" s="7" t="s">
        <v>36</v>
      </c>
      <c r="I16" s="5" t="s">
        <v>19</v>
      </c>
      <c r="J16" s="8"/>
      <c r="K16" s="7"/>
      <c r="L16" s="5"/>
      <c r="M16" s="5"/>
      <c r="N16" s="11" t="s">
        <v>87</v>
      </c>
      <c r="O16" s="5" t="s">
        <v>20</v>
      </c>
      <c r="P16" s="7"/>
      <c r="Q16" s="7"/>
      <c r="R16" s="9"/>
      <c r="S16" s="15"/>
    </row>
    <row r="17" spans="2:19" ht="99.75" customHeight="1">
      <c r="B17" s="4">
        <f t="shared" si="0"/>
        <v>13</v>
      </c>
      <c r="C17" s="4" t="s">
        <v>86</v>
      </c>
      <c r="D17" s="5" t="s">
        <v>15</v>
      </c>
      <c r="E17" s="6"/>
      <c r="F17" s="7" t="s">
        <v>16</v>
      </c>
      <c r="G17" s="7" t="s">
        <v>112</v>
      </c>
      <c r="H17" s="12" t="s">
        <v>123</v>
      </c>
      <c r="I17" s="5" t="s">
        <v>19</v>
      </c>
      <c r="J17" s="8"/>
      <c r="K17" s="7"/>
      <c r="L17" s="5"/>
      <c r="M17" s="5"/>
      <c r="N17" s="11" t="s">
        <v>87</v>
      </c>
      <c r="O17" s="5" t="s">
        <v>20</v>
      </c>
      <c r="P17" s="7"/>
      <c r="Q17" s="7"/>
      <c r="R17" s="9"/>
      <c r="S17" s="15"/>
    </row>
    <row r="18" spans="2:19" ht="99.75" customHeight="1">
      <c r="B18" s="4">
        <f t="shared" si="0"/>
        <v>14</v>
      </c>
      <c r="C18" s="4" t="s">
        <v>86</v>
      </c>
      <c r="D18" s="5" t="s">
        <v>15</v>
      </c>
      <c r="E18" s="6"/>
      <c r="F18" s="7" t="s">
        <v>16</v>
      </c>
      <c r="G18" s="7" t="s">
        <v>43</v>
      </c>
      <c r="H18" s="7" t="s">
        <v>44</v>
      </c>
      <c r="I18" s="5" t="s">
        <v>19</v>
      </c>
      <c r="J18" s="8"/>
      <c r="K18" s="7"/>
      <c r="L18" s="5"/>
      <c r="M18" s="5"/>
      <c r="N18" s="11" t="s">
        <v>87</v>
      </c>
      <c r="O18" s="5" t="s">
        <v>20</v>
      </c>
      <c r="P18" s="7"/>
      <c r="Q18" s="7"/>
      <c r="R18" s="9"/>
      <c r="S18" s="15"/>
    </row>
    <row r="19" spans="2:19" ht="99.75" customHeight="1">
      <c r="B19" s="4">
        <f t="shared" si="0"/>
        <v>15</v>
      </c>
      <c r="C19" s="4" t="s">
        <v>86</v>
      </c>
      <c r="D19" s="5" t="s">
        <v>15</v>
      </c>
      <c r="E19" s="6"/>
      <c r="F19" s="7" t="s">
        <v>16</v>
      </c>
      <c r="G19" s="7" t="s">
        <v>94</v>
      </c>
      <c r="H19" s="7" t="s">
        <v>96</v>
      </c>
      <c r="I19" s="5" t="s">
        <v>19</v>
      </c>
      <c r="J19" s="8"/>
      <c r="K19" s="7"/>
      <c r="L19" s="5"/>
      <c r="M19" s="5"/>
      <c r="N19" s="11" t="s">
        <v>87</v>
      </c>
      <c r="O19" s="5" t="s">
        <v>20</v>
      </c>
      <c r="P19" s="7"/>
      <c r="Q19" s="7"/>
      <c r="R19" s="9"/>
      <c r="S19" s="15"/>
    </row>
    <row r="20" spans="2:19" ht="99.75" customHeight="1">
      <c r="B20" s="4">
        <f t="shared" si="0"/>
        <v>16</v>
      </c>
      <c r="C20" s="4" t="s">
        <v>86</v>
      </c>
      <c r="D20" s="5" t="s">
        <v>15</v>
      </c>
      <c r="E20" s="6"/>
      <c r="F20" s="7" t="s">
        <v>16</v>
      </c>
      <c r="G20" s="7" t="s">
        <v>37</v>
      </c>
      <c r="H20" s="7" t="s">
        <v>38</v>
      </c>
      <c r="I20" s="5" t="s">
        <v>19</v>
      </c>
      <c r="J20" s="8"/>
      <c r="K20" s="7"/>
      <c r="L20" s="5"/>
      <c r="M20" s="5"/>
      <c r="N20" s="11" t="s">
        <v>87</v>
      </c>
      <c r="O20" s="5" t="s">
        <v>20</v>
      </c>
      <c r="P20" s="7"/>
      <c r="Q20" s="7"/>
      <c r="R20" s="9"/>
      <c r="S20" s="15"/>
    </row>
    <row r="21" spans="2:19" ht="99.75" customHeight="1">
      <c r="B21" s="4">
        <f t="shared" si="0"/>
        <v>17</v>
      </c>
      <c r="C21" s="4" t="s">
        <v>86</v>
      </c>
      <c r="D21" s="5" t="s">
        <v>15</v>
      </c>
      <c r="E21" s="6"/>
      <c r="F21" s="7" t="s">
        <v>16</v>
      </c>
      <c r="G21" s="7" t="s">
        <v>39</v>
      </c>
      <c r="H21" s="7" t="s">
        <v>40</v>
      </c>
      <c r="I21" s="5" t="s">
        <v>19</v>
      </c>
      <c r="J21" s="8"/>
      <c r="K21" s="7"/>
      <c r="L21" s="5"/>
      <c r="M21" s="5"/>
      <c r="N21" s="11" t="s">
        <v>87</v>
      </c>
      <c r="O21" s="5" t="s">
        <v>20</v>
      </c>
      <c r="P21" s="7"/>
      <c r="Q21" s="7"/>
      <c r="R21" s="9"/>
      <c r="S21" s="15"/>
    </row>
    <row r="22" spans="2:19" ht="99.75" customHeight="1">
      <c r="B22" s="4">
        <f t="shared" si="0"/>
        <v>18</v>
      </c>
      <c r="C22" s="4" t="s">
        <v>86</v>
      </c>
      <c r="D22" s="5" t="s">
        <v>15</v>
      </c>
      <c r="E22" s="6"/>
      <c r="F22" s="7" t="s">
        <v>16</v>
      </c>
      <c r="G22" s="7" t="s">
        <v>41</v>
      </c>
      <c r="H22" s="7" t="s">
        <v>42</v>
      </c>
      <c r="I22" s="5" t="s">
        <v>19</v>
      </c>
      <c r="J22" s="8"/>
      <c r="K22" s="7"/>
      <c r="L22" s="5"/>
      <c r="M22" s="5"/>
      <c r="N22" s="11" t="s">
        <v>87</v>
      </c>
      <c r="O22" s="5" t="s">
        <v>20</v>
      </c>
      <c r="P22" s="7"/>
      <c r="Q22" s="7"/>
      <c r="R22" s="9"/>
      <c r="S22" s="15"/>
    </row>
    <row r="23" spans="2:19" ht="99.75" customHeight="1">
      <c r="B23" s="4">
        <f t="shared" si="0"/>
        <v>19</v>
      </c>
      <c r="C23" s="4" t="s">
        <v>86</v>
      </c>
      <c r="D23" s="5" t="s">
        <v>15</v>
      </c>
      <c r="E23" s="6"/>
      <c r="F23" s="7" t="s">
        <v>16</v>
      </c>
      <c r="G23" s="7" t="s">
        <v>45</v>
      </c>
      <c r="H23" s="7" t="s">
        <v>46</v>
      </c>
      <c r="I23" s="5" t="s">
        <v>19</v>
      </c>
      <c r="J23" s="8"/>
      <c r="K23" s="7"/>
      <c r="L23" s="5"/>
      <c r="M23" s="5"/>
      <c r="N23" s="11" t="s">
        <v>87</v>
      </c>
      <c r="O23" s="5" t="s">
        <v>20</v>
      </c>
      <c r="P23" s="7"/>
      <c r="Q23" s="7"/>
      <c r="R23" s="9"/>
      <c r="S23" s="15"/>
    </row>
    <row r="24" spans="2:19" ht="99.75" customHeight="1">
      <c r="B24" s="4">
        <f t="shared" si="0"/>
        <v>20</v>
      </c>
      <c r="C24" s="4" t="s">
        <v>86</v>
      </c>
      <c r="D24" s="5" t="s">
        <v>15</v>
      </c>
      <c r="E24" s="6"/>
      <c r="F24" s="7" t="s">
        <v>16</v>
      </c>
      <c r="G24" s="7" t="s">
        <v>114</v>
      </c>
      <c r="H24" s="7" t="s">
        <v>47</v>
      </c>
      <c r="I24" s="5" t="s">
        <v>19</v>
      </c>
      <c r="J24" s="8"/>
      <c r="K24" s="7"/>
      <c r="L24" s="5"/>
      <c r="M24" s="5"/>
      <c r="N24" s="11" t="s">
        <v>87</v>
      </c>
      <c r="O24" s="5" t="s">
        <v>20</v>
      </c>
      <c r="P24" s="7"/>
      <c r="Q24" s="7"/>
      <c r="R24" s="9"/>
      <c r="S24" s="15"/>
    </row>
    <row r="25" spans="2:19" ht="99.75" customHeight="1">
      <c r="B25" s="4">
        <f t="shared" si="0"/>
        <v>21</v>
      </c>
      <c r="C25" s="4" t="s">
        <v>86</v>
      </c>
      <c r="D25" s="5" t="s">
        <v>15</v>
      </c>
      <c r="E25" s="6"/>
      <c r="F25" s="7" t="s">
        <v>16</v>
      </c>
      <c r="G25" s="7" t="s">
        <v>48</v>
      </c>
      <c r="H25" s="7" t="s">
        <v>49</v>
      </c>
      <c r="I25" s="5" t="s">
        <v>19</v>
      </c>
      <c r="J25" s="8"/>
      <c r="K25" s="7"/>
      <c r="L25" s="5"/>
      <c r="M25" s="5"/>
      <c r="N25" s="11" t="s">
        <v>87</v>
      </c>
      <c r="O25" s="5" t="s">
        <v>20</v>
      </c>
      <c r="P25" s="7"/>
      <c r="Q25" s="7"/>
      <c r="R25" s="9"/>
      <c r="S25" s="15"/>
    </row>
    <row r="26" spans="2:19" ht="99.75" customHeight="1">
      <c r="B26" s="4">
        <f t="shared" si="0"/>
        <v>22</v>
      </c>
      <c r="C26" s="4" t="s">
        <v>86</v>
      </c>
      <c r="D26" s="5" t="s">
        <v>15</v>
      </c>
      <c r="E26" s="6"/>
      <c r="F26" s="7" t="s">
        <v>16</v>
      </c>
      <c r="G26" s="7" t="s">
        <v>50</v>
      </c>
      <c r="H26" s="7" t="s">
        <v>51</v>
      </c>
      <c r="I26" s="5" t="s">
        <v>19</v>
      </c>
      <c r="J26" s="8"/>
      <c r="K26" s="7"/>
      <c r="L26" s="5"/>
      <c r="M26" s="5"/>
      <c r="N26" s="11" t="s">
        <v>87</v>
      </c>
      <c r="O26" s="5" t="s">
        <v>20</v>
      </c>
      <c r="P26" s="7"/>
      <c r="Q26" s="7"/>
      <c r="R26" s="9"/>
      <c r="S26" s="15"/>
    </row>
    <row r="27" spans="2:19" ht="99.75" customHeight="1">
      <c r="B27" s="4">
        <f t="shared" si="0"/>
        <v>23</v>
      </c>
      <c r="C27" s="4" t="s">
        <v>86</v>
      </c>
      <c r="D27" s="5" t="s">
        <v>15</v>
      </c>
      <c r="E27" s="6"/>
      <c r="F27" s="7" t="s">
        <v>16</v>
      </c>
      <c r="G27" s="7" t="s">
        <v>52</v>
      </c>
      <c r="H27" s="7" t="s">
        <v>53</v>
      </c>
      <c r="I27" s="5" t="s">
        <v>19</v>
      </c>
      <c r="J27" s="8"/>
      <c r="K27" s="7"/>
      <c r="L27" s="5"/>
      <c r="M27" s="5"/>
      <c r="N27" s="11" t="s">
        <v>87</v>
      </c>
      <c r="O27" s="5" t="s">
        <v>20</v>
      </c>
      <c r="P27" s="7"/>
      <c r="Q27" s="12"/>
      <c r="R27" s="9"/>
      <c r="S27" s="15"/>
    </row>
    <row r="28" spans="2:19" ht="99.75" customHeight="1">
      <c r="B28" s="4">
        <f t="shared" si="0"/>
        <v>24</v>
      </c>
      <c r="C28" s="4" t="s">
        <v>86</v>
      </c>
      <c r="D28" s="5" t="s">
        <v>15</v>
      </c>
      <c r="E28" s="6"/>
      <c r="F28" s="7" t="s">
        <v>16</v>
      </c>
      <c r="G28" s="7" t="s">
        <v>54</v>
      </c>
      <c r="H28" s="12" t="s">
        <v>124</v>
      </c>
      <c r="I28" s="5" t="s">
        <v>19</v>
      </c>
      <c r="J28" s="8"/>
      <c r="K28" s="7"/>
      <c r="L28" s="5"/>
      <c r="M28" s="5"/>
      <c r="N28" s="11" t="s">
        <v>87</v>
      </c>
      <c r="O28" s="5" t="s">
        <v>20</v>
      </c>
      <c r="P28" s="7"/>
      <c r="Q28" s="7"/>
      <c r="R28" s="17"/>
      <c r="S28" s="15"/>
    </row>
    <row r="29" spans="2:19" ht="99.75" customHeight="1">
      <c r="B29" s="4">
        <f t="shared" si="0"/>
        <v>25</v>
      </c>
      <c r="C29" s="4" t="s">
        <v>86</v>
      </c>
      <c r="D29" s="5" t="s">
        <v>15</v>
      </c>
      <c r="E29" s="6"/>
      <c r="F29" s="7" t="s">
        <v>16</v>
      </c>
      <c r="G29" s="7" t="s">
        <v>55</v>
      </c>
      <c r="H29" s="12" t="s">
        <v>126</v>
      </c>
      <c r="I29" s="5" t="s">
        <v>19</v>
      </c>
      <c r="J29" s="8"/>
      <c r="K29" s="7"/>
      <c r="L29" s="5"/>
      <c r="M29" s="5"/>
      <c r="N29" s="11" t="s">
        <v>87</v>
      </c>
      <c r="O29" s="5" t="s">
        <v>20</v>
      </c>
      <c r="P29" s="7"/>
      <c r="Q29" s="7"/>
      <c r="R29" s="9"/>
      <c r="S29" s="15"/>
    </row>
    <row r="30" spans="2:19" ht="99.75" customHeight="1">
      <c r="B30" s="4">
        <f t="shared" si="0"/>
        <v>26</v>
      </c>
      <c r="C30" s="4" t="s">
        <v>86</v>
      </c>
      <c r="D30" s="5" t="s">
        <v>15</v>
      </c>
      <c r="E30" s="6"/>
      <c r="F30" s="7" t="s">
        <v>16</v>
      </c>
      <c r="G30" s="7" t="s">
        <v>56</v>
      </c>
      <c r="H30" s="7" t="s">
        <v>57</v>
      </c>
      <c r="I30" s="5" t="s">
        <v>19</v>
      </c>
      <c r="J30" s="8"/>
      <c r="K30" s="7"/>
      <c r="L30" s="5"/>
      <c r="M30" s="5"/>
      <c r="N30" s="11" t="s">
        <v>87</v>
      </c>
      <c r="O30" s="5" t="s">
        <v>20</v>
      </c>
      <c r="P30" s="7"/>
      <c r="Q30" s="7"/>
      <c r="R30" s="9"/>
      <c r="S30" s="15"/>
    </row>
    <row r="31" spans="2:19" ht="99.75" customHeight="1">
      <c r="B31" s="4">
        <f t="shared" si="0"/>
        <v>27</v>
      </c>
      <c r="C31" s="4" t="s">
        <v>86</v>
      </c>
      <c r="D31" s="5" t="s">
        <v>15</v>
      </c>
      <c r="E31" s="6"/>
      <c r="F31" s="7" t="s">
        <v>16</v>
      </c>
      <c r="G31" s="7" t="s">
        <v>89</v>
      </c>
      <c r="H31" s="7" t="s">
        <v>90</v>
      </c>
      <c r="I31" s="5" t="s">
        <v>19</v>
      </c>
      <c r="J31" s="8"/>
      <c r="K31" s="7"/>
      <c r="L31" s="5"/>
      <c r="M31" s="5"/>
      <c r="N31" s="11" t="s">
        <v>87</v>
      </c>
      <c r="O31" s="5" t="s">
        <v>20</v>
      </c>
      <c r="P31" s="7"/>
      <c r="Q31" s="7"/>
      <c r="R31" s="9"/>
      <c r="S31" s="15"/>
    </row>
    <row r="32" spans="2:19" ht="99.75" customHeight="1">
      <c r="B32" s="4">
        <f t="shared" si="0"/>
        <v>28</v>
      </c>
      <c r="C32" s="4" t="s">
        <v>86</v>
      </c>
      <c r="D32" s="5" t="s">
        <v>15</v>
      </c>
      <c r="E32" s="6"/>
      <c r="F32" s="7" t="s">
        <v>16</v>
      </c>
      <c r="G32" s="7" t="s">
        <v>58</v>
      </c>
      <c r="H32" s="7" t="s">
        <v>59</v>
      </c>
      <c r="I32" s="5" t="s">
        <v>19</v>
      </c>
      <c r="J32" s="8"/>
      <c r="K32" s="7"/>
      <c r="L32" s="5"/>
      <c r="M32" s="5"/>
      <c r="N32" s="11" t="s">
        <v>87</v>
      </c>
      <c r="O32" s="5" t="s">
        <v>20</v>
      </c>
      <c r="P32" s="7"/>
      <c r="Q32" s="7"/>
      <c r="R32" s="9"/>
      <c r="S32" s="15"/>
    </row>
    <row r="33" spans="2:19" ht="99.75" customHeight="1">
      <c r="B33" s="4">
        <f t="shared" si="0"/>
        <v>29</v>
      </c>
      <c r="C33" s="4" t="s">
        <v>86</v>
      </c>
      <c r="D33" s="5" t="s">
        <v>15</v>
      </c>
      <c r="E33" s="6"/>
      <c r="F33" s="7" t="s">
        <v>16</v>
      </c>
      <c r="G33" s="7" t="s">
        <v>109</v>
      </c>
      <c r="H33" s="7" t="s">
        <v>120</v>
      </c>
      <c r="I33" s="5" t="s">
        <v>19</v>
      </c>
      <c r="J33" s="8"/>
      <c r="K33" s="7"/>
      <c r="L33" s="5"/>
      <c r="M33" s="5"/>
      <c r="N33" s="11" t="s">
        <v>87</v>
      </c>
      <c r="O33" s="5" t="s">
        <v>20</v>
      </c>
      <c r="P33" s="7"/>
      <c r="Q33" s="7"/>
      <c r="R33" s="9"/>
      <c r="S33" s="15"/>
    </row>
    <row r="34" spans="2:19" ht="99.75" customHeight="1">
      <c r="B34" s="4">
        <f t="shared" si="0"/>
        <v>30</v>
      </c>
      <c r="C34" s="4" t="s">
        <v>86</v>
      </c>
      <c r="D34" s="5" t="s">
        <v>15</v>
      </c>
      <c r="E34" s="6"/>
      <c r="F34" s="7" t="s">
        <v>16</v>
      </c>
      <c r="G34" s="7" t="s">
        <v>60</v>
      </c>
      <c r="H34" s="12" t="s">
        <v>142</v>
      </c>
      <c r="I34" s="5" t="s">
        <v>19</v>
      </c>
      <c r="J34" s="8"/>
      <c r="K34" s="7"/>
      <c r="L34" s="5"/>
      <c r="M34" s="5"/>
      <c r="N34" s="11" t="s">
        <v>87</v>
      </c>
      <c r="O34" s="5" t="s">
        <v>20</v>
      </c>
      <c r="P34" s="12"/>
      <c r="Q34" s="7"/>
      <c r="R34" s="9"/>
      <c r="S34" s="15"/>
    </row>
    <row r="35" spans="2:19" ht="99.75" customHeight="1">
      <c r="B35" s="4">
        <f t="shared" si="0"/>
        <v>31</v>
      </c>
      <c r="C35" s="4" t="s">
        <v>86</v>
      </c>
      <c r="D35" s="5" t="s">
        <v>15</v>
      </c>
      <c r="E35" s="6"/>
      <c r="F35" s="7" t="s">
        <v>16</v>
      </c>
      <c r="G35" s="7" t="s">
        <v>61</v>
      </c>
      <c r="H35" s="12" t="s">
        <v>134</v>
      </c>
      <c r="I35" s="5" t="s">
        <v>19</v>
      </c>
      <c r="J35" s="8"/>
      <c r="K35" s="7"/>
      <c r="L35" s="5"/>
      <c r="M35" s="5"/>
      <c r="N35" s="11" t="s">
        <v>87</v>
      </c>
      <c r="O35" s="5" t="s">
        <v>20</v>
      </c>
      <c r="P35" s="7"/>
      <c r="Q35" s="7"/>
      <c r="R35" s="9"/>
      <c r="S35" s="15"/>
    </row>
    <row r="36" spans="2:19" ht="99.75" customHeight="1">
      <c r="B36" s="4">
        <f t="shared" si="0"/>
        <v>32</v>
      </c>
      <c r="C36" s="4" t="s">
        <v>86</v>
      </c>
      <c r="D36" s="5" t="s">
        <v>15</v>
      </c>
      <c r="E36" s="6"/>
      <c r="F36" s="7" t="s">
        <v>16</v>
      </c>
      <c r="G36" s="7" t="s">
        <v>62</v>
      </c>
      <c r="H36" s="12" t="s">
        <v>116</v>
      </c>
      <c r="I36" s="5" t="s">
        <v>19</v>
      </c>
      <c r="J36" s="8"/>
      <c r="K36" s="7"/>
      <c r="L36" s="5"/>
      <c r="M36" s="5"/>
      <c r="N36" s="11" t="s">
        <v>87</v>
      </c>
      <c r="O36" s="5" t="s">
        <v>20</v>
      </c>
      <c r="P36" s="13"/>
      <c r="Q36" s="7"/>
      <c r="R36" s="9"/>
      <c r="S36" s="15"/>
    </row>
    <row r="37" spans="2:19" ht="99.75" customHeight="1">
      <c r="B37" s="4">
        <f t="shared" si="0"/>
        <v>33</v>
      </c>
      <c r="C37" s="4" t="s">
        <v>86</v>
      </c>
      <c r="D37" s="5" t="s">
        <v>15</v>
      </c>
      <c r="E37" s="6"/>
      <c r="F37" s="7" t="s">
        <v>16</v>
      </c>
      <c r="G37" s="7" t="s">
        <v>63</v>
      </c>
      <c r="H37" s="12" t="s">
        <v>127</v>
      </c>
      <c r="I37" s="5" t="s">
        <v>19</v>
      </c>
      <c r="J37" s="8"/>
      <c r="K37" s="7"/>
      <c r="L37" s="5"/>
      <c r="M37" s="5"/>
      <c r="N37" s="11" t="s">
        <v>87</v>
      </c>
      <c r="O37" s="5" t="s">
        <v>20</v>
      </c>
      <c r="P37" s="7"/>
      <c r="Q37" s="7"/>
      <c r="R37" s="9"/>
      <c r="S37" s="15"/>
    </row>
    <row r="38" spans="2:19" ht="99.75" customHeight="1">
      <c r="B38" s="4">
        <f t="shared" si="0"/>
        <v>34</v>
      </c>
      <c r="C38" s="4" t="s">
        <v>86</v>
      </c>
      <c r="D38" s="5" t="s">
        <v>15</v>
      </c>
      <c r="E38" s="6"/>
      <c r="F38" s="7" t="s">
        <v>16</v>
      </c>
      <c r="G38" s="7" t="s">
        <v>64</v>
      </c>
      <c r="H38" s="7" t="s">
        <v>65</v>
      </c>
      <c r="I38" s="5" t="s">
        <v>19</v>
      </c>
      <c r="J38" s="8"/>
      <c r="K38" s="7"/>
      <c r="L38" s="5"/>
      <c r="M38" s="5"/>
      <c r="N38" s="11" t="s">
        <v>87</v>
      </c>
      <c r="O38" s="5" t="s">
        <v>20</v>
      </c>
      <c r="P38" s="7"/>
      <c r="Q38" s="7"/>
      <c r="R38" s="9"/>
      <c r="S38" s="15"/>
    </row>
    <row r="39" spans="2:19" ht="99.75" customHeight="1">
      <c r="B39" s="4">
        <f t="shared" si="0"/>
        <v>35</v>
      </c>
      <c r="C39" s="4" t="s">
        <v>86</v>
      </c>
      <c r="D39" s="5" t="s">
        <v>15</v>
      </c>
      <c r="E39" s="6"/>
      <c r="F39" s="7" t="s">
        <v>16</v>
      </c>
      <c r="G39" s="7" t="s">
        <v>66</v>
      </c>
      <c r="H39" s="12" t="s">
        <v>118</v>
      </c>
      <c r="I39" s="5" t="s">
        <v>19</v>
      </c>
      <c r="J39" s="8"/>
      <c r="K39" s="7"/>
      <c r="L39" s="5"/>
      <c r="M39" s="5"/>
      <c r="N39" s="11" t="s">
        <v>87</v>
      </c>
      <c r="O39" s="5" t="s">
        <v>20</v>
      </c>
      <c r="P39" s="7"/>
      <c r="Q39" s="7"/>
      <c r="R39" s="9"/>
      <c r="S39" s="15"/>
    </row>
    <row r="40" spans="2:19" ht="99.75" customHeight="1">
      <c r="B40" s="4">
        <f t="shared" si="0"/>
        <v>36</v>
      </c>
      <c r="C40" s="4" t="s">
        <v>86</v>
      </c>
      <c r="D40" s="5" t="s">
        <v>15</v>
      </c>
      <c r="E40" s="6"/>
      <c r="F40" s="7" t="s">
        <v>16</v>
      </c>
      <c r="G40" s="7" t="s">
        <v>67</v>
      </c>
      <c r="H40" s="12" t="s">
        <v>117</v>
      </c>
      <c r="I40" s="5" t="s">
        <v>19</v>
      </c>
      <c r="J40" s="8"/>
      <c r="K40" s="7"/>
      <c r="L40" s="5"/>
      <c r="M40" s="5"/>
      <c r="N40" s="11" t="s">
        <v>87</v>
      </c>
      <c r="O40" s="5" t="s">
        <v>20</v>
      </c>
      <c r="P40" s="7"/>
      <c r="Q40" s="7"/>
      <c r="R40" s="9"/>
      <c r="S40" s="15"/>
    </row>
    <row r="41" spans="2:19" ht="99.75" customHeight="1">
      <c r="B41" s="4">
        <f t="shared" si="0"/>
        <v>37</v>
      </c>
      <c r="C41" s="4" t="s">
        <v>86</v>
      </c>
      <c r="D41" s="5" t="s">
        <v>15</v>
      </c>
      <c r="E41" s="6"/>
      <c r="F41" s="7" t="s">
        <v>16</v>
      </c>
      <c r="G41" s="7" t="s">
        <v>136</v>
      </c>
      <c r="H41" s="12" t="s">
        <v>137</v>
      </c>
      <c r="I41" s="5" t="s">
        <v>19</v>
      </c>
      <c r="J41" s="8"/>
      <c r="K41" s="7"/>
      <c r="L41" s="5"/>
      <c r="M41" s="5"/>
      <c r="N41" s="11" t="s">
        <v>87</v>
      </c>
      <c r="O41" s="5" t="s">
        <v>20</v>
      </c>
      <c r="P41" s="7"/>
      <c r="Q41" s="7"/>
      <c r="R41" s="9"/>
      <c r="S41" s="15"/>
    </row>
    <row r="42" spans="2:19" ht="99.75" customHeight="1">
      <c r="B42" s="4">
        <f t="shared" si="0"/>
        <v>38</v>
      </c>
      <c r="C42" s="4" t="s">
        <v>86</v>
      </c>
      <c r="D42" s="5" t="s">
        <v>15</v>
      </c>
      <c r="E42" s="6"/>
      <c r="F42" s="7" t="s">
        <v>16</v>
      </c>
      <c r="G42" s="7" t="s">
        <v>113</v>
      </c>
      <c r="H42" s="12" t="s">
        <v>129</v>
      </c>
      <c r="I42" s="5" t="s">
        <v>19</v>
      </c>
      <c r="J42" s="8"/>
      <c r="K42" s="7"/>
      <c r="L42" s="5"/>
      <c r="M42" s="5"/>
      <c r="N42" s="11" t="s">
        <v>87</v>
      </c>
      <c r="O42" s="5" t="s">
        <v>20</v>
      </c>
      <c r="P42" s="7"/>
      <c r="Q42" s="7"/>
      <c r="R42" s="9"/>
      <c r="S42" s="15"/>
    </row>
    <row r="43" spans="2:19" ht="99.75" customHeight="1">
      <c r="B43" s="4">
        <f t="shared" si="0"/>
        <v>39</v>
      </c>
      <c r="C43" s="4" t="s">
        <v>86</v>
      </c>
      <c r="D43" s="5" t="s">
        <v>15</v>
      </c>
      <c r="E43" s="6"/>
      <c r="F43" s="7" t="s">
        <v>16</v>
      </c>
      <c r="G43" s="7" t="s">
        <v>91</v>
      </c>
      <c r="H43" s="7" t="s">
        <v>106</v>
      </c>
      <c r="I43" s="5" t="s">
        <v>19</v>
      </c>
      <c r="J43" s="8"/>
      <c r="K43" s="7"/>
      <c r="L43" s="5"/>
      <c r="M43" s="5"/>
      <c r="N43" s="11" t="s">
        <v>87</v>
      </c>
      <c r="O43" s="5" t="s">
        <v>20</v>
      </c>
      <c r="P43" s="7"/>
      <c r="Q43" s="7"/>
      <c r="R43" s="9"/>
      <c r="S43" s="15"/>
    </row>
    <row r="44" spans="2:19" ht="99.75" customHeight="1">
      <c r="B44" s="4">
        <f t="shared" si="0"/>
        <v>40</v>
      </c>
      <c r="C44" s="4" t="s">
        <v>86</v>
      </c>
      <c r="D44" s="5" t="s">
        <v>15</v>
      </c>
      <c r="E44" s="6"/>
      <c r="F44" s="7" t="s">
        <v>16</v>
      </c>
      <c r="G44" s="7" t="s">
        <v>92</v>
      </c>
      <c r="H44" s="7" t="s">
        <v>68</v>
      </c>
      <c r="I44" s="5" t="s">
        <v>19</v>
      </c>
      <c r="J44" s="8"/>
      <c r="K44" s="7"/>
      <c r="L44" s="5"/>
      <c r="M44" s="5"/>
      <c r="N44" s="11" t="s">
        <v>87</v>
      </c>
      <c r="O44" s="5" t="s">
        <v>20</v>
      </c>
      <c r="P44" s="7"/>
      <c r="Q44" s="7"/>
      <c r="R44" s="9"/>
      <c r="S44" s="15"/>
    </row>
    <row r="45" spans="2:19" ht="99.75" customHeight="1">
      <c r="B45" s="4">
        <f t="shared" si="0"/>
        <v>41</v>
      </c>
      <c r="C45" s="4" t="s">
        <v>86</v>
      </c>
      <c r="D45" s="5" t="s">
        <v>15</v>
      </c>
      <c r="E45" s="6"/>
      <c r="F45" s="7" t="s">
        <v>16</v>
      </c>
      <c r="G45" s="7" t="s">
        <v>115</v>
      </c>
      <c r="H45" s="12" t="s">
        <v>125</v>
      </c>
      <c r="I45" s="5" t="s">
        <v>19</v>
      </c>
      <c r="J45" s="8"/>
      <c r="K45" s="7"/>
      <c r="L45" s="5"/>
      <c r="M45" s="5"/>
      <c r="N45" s="11" t="s">
        <v>87</v>
      </c>
      <c r="O45" s="5" t="s">
        <v>20</v>
      </c>
      <c r="P45" s="12"/>
      <c r="Q45" s="7"/>
      <c r="R45" s="9"/>
      <c r="S45" s="15"/>
    </row>
    <row r="46" spans="2:19" ht="99.75" customHeight="1">
      <c r="B46" s="4">
        <f t="shared" si="0"/>
        <v>42</v>
      </c>
      <c r="C46" s="4" t="s">
        <v>86</v>
      </c>
      <c r="D46" s="5" t="s">
        <v>15</v>
      </c>
      <c r="E46" s="6"/>
      <c r="F46" s="7" t="s">
        <v>16</v>
      </c>
      <c r="G46" s="7" t="s">
        <v>69</v>
      </c>
      <c r="H46" s="7" t="s">
        <v>70</v>
      </c>
      <c r="I46" s="5" t="s">
        <v>19</v>
      </c>
      <c r="J46" s="8"/>
      <c r="K46" s="7"/>
      <c r="L46" s="5"/>
      <c r="M46" s="5"/>
      <c r="N46" s="11" t="s">
        <v>87</v>
      </c>
      <c r="O46" s="5" t="s">
        <v>20</v>
      </c>
      <c r="P46" s="7"/>
      <c r="Q46" s="7"/>
      <c r="R46" s="9"/>
      <c r="S46" s="15"/>
    </row>
    <row r="47" spans="2:19" ht="99.75" customHeight="1">
      <c r="B47" s="4">
        <f t="shared" si="0"/>
        <v>43</v>
      </c>
      <c r="C47" s="4" t="s">
        <v>86</v>
      </c>
      <c r="D47" s="5" t="s">
        <v>15</v>
      </c>
      <c r="E47" s="6"/>
      <c r="F47" s="7" t="s">
        <v>16</v>
      </c>
      <c r="G47" s="7" t="s">
        <v>93</v>
      </c>
      <c r="H47" s="12" t="s">
        <v>108</v>
      </c>
      <c r="I47" s="5" t="s">
        <v>19</v>
      </c>
      <c r="J47" s="8"/>
      <c r="K47" s="7"/>
      <c r="L47" s="5"/>
      <c r="M47" s="5"/>
      <c r="N47" s="11" t="s">
        <v>87</v>
      </c>
      <c r="O47" s="5" t="s">
        <v>20</v>
      </c>
      <c r="P47" s="7"/>
      <c r="Q47" s="12"/>
      <c r="R47" s="9"/>
      <c r="S47" s="15"/>
    </row>
    <row r="48" spans="2:19" ht="99.75" customHeight="1">
      <c r="B48" s="4">
        <f t="shared" si="0"/>
        <v>44</v>
      </c>
      <c r="C48" s="4" t="s">
        <v>86</v>
      </c>
      <c r="D48" s="5" t="s">
        <v>15</v>
      </c>
      <c r="E48" s="6"/>
      <c r="F48" s="7" t="s">
        <v>16</v>
      </c>
      <c r="G48" s="7" t="s">
        <v>71</v>
      </c>
      <c r="H48" s="7" t="s">
        <v>72</v>
      </c>
      <c r="I48" s="5" t="s">
        <v>19</v>
      </c>
      <c r="J48" s="8"/>
      <c r="K48" s="7"/>
      <c r="L48" s="5"/>
      <c r="M48" s="5"/>
      <c r="N48" s="11" t="s">
        <v>87</v>
      </c>
      <c r="O48" s="5" t="s">
        <v>20</v>
      </c>
      <c r="P48" s="7"/>
      <c r="Q48" s="7"/>
      <c r="R48" s="9"/>
      <c r="S48" s="15"/>
    </row>
    <row r="49" spans="2:19" ht="99.75" customHeight="1">
      <c r="B49" s="4">
        <f t="shared" si="0"/>
        <v>45</v>
      </c>
      <c r="C49" s="4" t="s">
        <v>86</v>
      </c>
      <c r="D49" s="5" t="s">
        <v>15</v>
      </c>
      <c r="E49" s="6"/>
      <c r="F49" s="7" t="s">
        <v>16</v>
      </c>
      <c r="G49" s="7" t="s">
        <v>121</v>
      </c>
      <c r="H49" s="12" t="s">
        <v>122</v>
      </c>
      <c r="I49" s="5" t="s">
        <v>19</v>
      </c>
      <c r="J49" s="8"/>
      <c r="K49" s="7"/>
      <c r="L49" s="5"/>
      <c r="M49" s="5"/>
      <c r="N49" s="11" t="s">
        <v>87</v>
      </c>
      <c r="O49" s="5" t="s">
        <v>20</v>
      </c>
      <c r="P49" s="7"/>
      <c r="Q49" s="7"/>
      <c r="R49" s="9"/>
      <c r="S49" s="15"/>
    </row>
    <row r="50" spans="2:19" ht="99.75" customHeight="1">
      <c r="B50" s="4">
        <f t="shared" si="0"/>
        <v>46</v>
      </c>
      <c r="C50" s="4" t="s">
        <v>86</v>
      </c>
      <c r="D50" s="5" t="s">
        <v>15</v>
      </c>
      <c r="E50" s="6"/>
      <c r="F50" s="7" t="s">
        <v>16</v>
      </c>
      <c r="G50" s="7" t="s">
        <v>73</v>
      </c>
      <c r="H50" s="7" t="s">
        <v>74</v>
      </c>
      <c r="I50" s="5" t="s">
        <v>19</v>
      </c>
      <c r="J50" s="8"/>
      <c r="K50" s="7"/>
      <c r="L50" s="5"/>
      <c r="M50" s="5"/>
      <c r="N50" s="11" t="s">
        <v>87</v>
      </c>
      <c r="O50" s="5" t="s">
        <v>20</v>
      </c>
      <c r="P50" s="7"/>
      <c r="Q50" s="7"/>
      <c r="R50" s="9"/>
      <c r="S50" s="15"/>
    </row>
    <row r="51" spans="2:19" ht="99.75" customHeight="1">
      <c r="B51" s="4">
        <f t="shared" si="0"/>
        <v>47</v>
      </c>
      <c r="C51" s="4" t="s">
        <v>86</v>
      </c>
      <c r="D51" s="5" t="s">
        <v>15</v>
      </c>
      <c r="E51" s="6"/>
      <c r="F51" s="7" t="s">
        <v>16</v>
      </c>
      <c r="G51" s="7" t="s">
        <v>75</v>
      </c>
      <c r="H51" s="7" t="s">
        <v>76</v>
      </c>
      <c r="I51" s="5" t="s">
        <v>19</v>
      </c>
      <c r="J51" s="8"/>
      <c r="K51" s="7"/>
      <c r="L51" s="5"/>
      <c r="M51" s="5"/>
      <c r="N51" s="11" t="s">
        <v>87</v>
      </c>
      <c r="O51" s="5" t="s">
        <v>20</v>
      </c>
      <c r="P51" s="7"/>
      <c r="Q51" s="7"/>
      <c r="R51" s="9"/>
      <c r="S51" s="15"/>
    </row>
    <row r="52" spans="2:19" ht="99.75" customHeight="1">
      <c r="B52" s="4">
        <f t="shared" si="0"/>
        <v>48</v>
      </c>
      <c r="C52" s="4" t="s">
        <v>86</v>
      </c>
      <c r="D52" s="5" t="s">
        <v>15</v>
      </c>
      <c r="E52" s="6"/>
      <c r="F52" s="7" t="s">
        <v>16</v>
      </c>
      <c r="G52" s="7" t="s">
        <v>77</v>
      </c>
      <c r="H52" s="12" t="s">
        <v>138</v>
      </c>
      <c r="I52" s="5" t="s">
        <v>19</v>
      </c>
      <c r="J52" s="8"/>
      <c r="K52" s="7"/>
      <c r="L52" s="5"/>
      <c r="M52" s="5"/>
      <c r="N52" s="11" t="s">
        <v>87</v>
      </c>
      <c r="O52" s="5" t="s">
        <v>20</v>
      </c>
      <c r="P52" s="12"/>
      <c r="Q52" s="7"/>
      <c r="R52" s="9"/>
      <c r="S52" s="15"/>
    </row>
    <row r="53" spans="2:19" ht="99.75" customHeight="1">
      <c r="B53" s="4">
        <f t="shared" si="0"/>
        <v>49</v>
      </c>
      <c r="C53" s="4" t="s">
        <v>86</v>
      </c>
      <c r="D53" s="5" t="s">
        <v>15</v>
      </c>
      <c r="E53" s="6"/>
      <c r="F53" s="7" t="s">
        <v>16</v>
      </c>
      <c r="G53" s="7" t="s">
        <v>78</v>
      </c>
      <c r="H53" s="12" t="s">
        <v>139</v>
      </c>
      <c r="I53" s="5" t="s">
        <v>19</v>
      </c>
      <c r="J53" s="8"/>
      <c r="K53" s="7"/>
      <c r="L53" s="5"/>
      <c r="M53" s="5"/>
      <c r="N53" s="11" t="s">
        <v>87</v>
      </c>
      <c r="O53" s="5" t="s">
        <v>20</v>
      </c>
      <c r="P53" s="12"/>
      <c r="Q53" s="7"/>
      <c r="R53" s="9"/>
      <c r="S53" s="15"/>
    </row>
    <row r="54" spans="2:19" ht="99.75" customHeight="1">
      <c r="B54" s="4">
        <f t="shared" si="0"/>
        <v>50</v>
      </c>
      <c r="C54" s="4" t="s">
        <v>86</v>
      </c>
      <c r="D54" s="5" t="s">
        <v>15</v>
      </c>
      <c r="E54" s="6"/>
      <c r="F54" s="7" t="s">
        <v>16</v>
      </c>
      <c r="G54" s="7" t="s">
        <v>79</v>
      </c>
      <c r="H54" s="7" t="s">
        <v>110</v>
      </c>
      <c r="I54" s="5" t="s">
        <v>19</v>
      </c>
      <c r="J54" s="8"/>
      <c r="K54" s="7"/>
      <c r="L54" s="5"/>
      <c r="M54" s="5"/>
      <c r="N54" s="11" t="s">
        <v>87</v>
      </c>
      <c r="O54" s="5" t="s">
        <v>20</v>
      </c>
      <c r="P54" s="7"/>
      <c r="Q54" s="7"/>
      <c r="R54" s="9"/>
      <c r="S54" s="15"/>
    </row>
    <row r="55" spans="2:19" ht="99.75" customHeight="1">
      <c r="B55" s="4">
        <f t="shared" si="0"/>
        <v>51</v>
      </c>
      <c r="C55" s="4" t="s">
        <v>86</v>
      </c>
      <c r="D55" s="5" t="s">
        <v>15</v>
      </c>
      <c r="E55" s="6"/>
      <c r="F55" s="7" t="s">
        <v>16</v>
      </c>
      <c r="G55" s="12" t="s">
        <v>132</v>
      </c>
      <c r="H55" s="7" t="s">
        <v>88</v>
      </c>
      <c r="I55" s="5" t="s">
        <v>19</v>
      </c>
      <c r="J55" s="8"/>
      <c r="K55" s="7"/>
      <c r="L55" s="5"/>
      <c r="M55" s="5"/>
      <c r="N55" s="11" t="s">
        <v>87</v>
      </c>
      <c r="O55" s="5" t="s">
        <v>20</v>
      </c>
      <c r="P55" s="18"/>
      <c r="Q55" s="7"/>
      <c r="R55" s="9"/>
      <c r="S55" s="15"/>
    </row>
    <row r="56" spans="2:19" ht="99.75" customHeight="1">
      <c r="B56" s="4">
        <f t="shared" si="0"/>
        <v>52</v>
      </c>
      <c r="C56" s="4" t="s">
        <v>86</v>
      </c>
      <c r="D56" s="5" t="s">
        <v>15</v>
      </c>
      <c r="E56" s="6"/>
      <c r="F56" s="7" t="s">
        <v>16</v>
      </c>
      <c r="G56" s="7" t="s">
        <v>128</v>
      </c>
      <c r="H56" s="7" t="s">
        <v>131</v>
      </c>
      <c r="I56" s="5" t="s">
        <v>19</v>
      </c>
      <c r="J56" s="8"/>
      <c r="K56" s="7"/>
      <c r="L56" s="5"/>
      <c r="M56" s="5"/>
      <c r="N56" s="11" t="s">
        <v>87</v>
      </c>
      <c r="O56" s="5" t="s">
        <v>20</v>
      </c>
      <c r="P56" s="18"/>
      <c r="Q56" s="7"/>
      <c r="R56" s="9"/>
      <c r="S56" s="15"/>
    </row>
    <row r="57" spans="2:19" ht="99.75" customHeight="1">
      <c r="B57" s="4">
        <f t="shared" si="0"/>
        <v>53</v>
      </c>
      <c r="C57" s="4" t="s">
        <v>86</v>
      </c>
      <c r="D57" s="5" t="s">
        <v>15</v>
      </c>
      <c r="E57" s="6"/>
      <c r="F57" s="7" t="s">
        <v>16</v>
      </c>
      <c r="G57" s="7" t="s">
        <v>82</v>
      </c>
      <c r="H57" s="12" t="s">
        <v>145</v>
      </c>
      <c r="I57" s="5" t="s">
        <v>85</v>
      </c>
      <c r="J57" s="8"/>
      <c r="K57" s="7"/>
      <c r="L57" s="5"/>
      <c r="M57" s="5"/>
      <c r="N57" s="11" t="s">
        <v>87</v>
      </c>
      <c r="O57" s="5" t="s">
        <v>20</v>
      </c>
      <c r="P57" s="7"/>
      <c r="Q57" s="7"/>
      <c r="R57" s="9"/>
      <c r="S57" s="15"/>
    </row>
    <row r="58" spans="2:19" ht="99.75" customHeight="1">
      <c r="B58" s="4">
        <f t="shared" si="0"/>
        <v>54</v>
      </c>
      <c r="C58" s="4" t="s">
        <v>86</v>
      </c>
      <c r="D58" s="5" t="s">
        <v>15</v>
      </c>
      <c r="E58" s="6"/>
      <c r="F58" s="7" t="s">
        <v>16</v>
      </c>
      <c r="G58" s="7" t="s">
        <v>83</v>
      </c>
      <c r="H58" s="12" t="s">
        <v>146</v>
      </c>
      <c r="I58" s="5" t="s">
        <v>85</v>
      </c>
      <c r="J58" s="8"/>
      <c r="K58" s="7"/>
      <c r="L58" s="5"/>
      <c r="M58" s="5"/>
      <c r="N58" s="11" t="s">
        <v>87</v>
      </c>
      <c r="O58" s="5" t="s">
        <v>20</v>
      </c>
      <c r="P58" s="7"/>
      <c r="Q58" s="7"/>
      <c r="R58" s="9"/>
      <c r="S58" s="15"/>
    </row>
    <row r="59" spans="2:19" ht="99.75" customHeight="1">
      <c r="B59" s="4">
        <f t="shared" si="0"/>
        <v>55</v>
      </c>
      <c r="C59" s="4" t="s">
        <v>86</v>
      </c>
      <c r="D59" s="5" t="s">
        <v>15</v>
      </c>
      <c r="E59" s="6"/>
      <c r="F59" s="7" t="s">
        <v>16</v>
      </c>
      <c r="G59" s="7" t="s">
        <v>128</v>
      </c>
      <c r="H59" s="7" t="s">
        <v>130</v>
      </c>
      <c r="I59" s="5" t="s">
        <v>85</v>
      </c>
      <c r="J59" s="8"/>
      <c r="K59" s="7"/>
      <c r="L59" s="5"/>
      <c r="M59" s="5"/>
      <c r="N59" s="11" t="s">
        <v>87</v>
      </c>
      <c r="O59" s="5" t="s">
        <v>20</v>
      </c>
      <c r="P59" s="7"/>
      <c r="Q59" s="7"/>
      <c r="R59" s="9"/>
      <c r="S59" s="15"/>
    </row>
    <row r="60" spans="2:19" ht="99.75" customHeight="1">
      <c r="B60" s="4">
        <f t="shared" si="0"/>
        <v>56</v>
      </c>
      <c r="C60" s="4" t="s">
        <v>86</v>
      </c>
      <c r="D60" s="5" t="s">
        <v>15</v>
      </c>
      <c r="E60" s="6"/>
      <c r="F60" s="7" t="s">
        <v>16</v>
      </c>
      <c r="G60" s="7" t="s">
        <v>119</v>
      </c>
      <c r="H60" s="12" t="s">
        <v>144</v>
      </c>
      <c r="I60" s="5" t="s">
        <v>85</v>
      </c>
      <c r="J60" s="8"/>
      <c r="K60" s="7"/>
      <c r="L60" s="5"/>
      <c r="M60" s="5"/>
      <c r="N60" s="11" t="s">
        <v>87</v>
      </c>
      <c r="O60" s="5" t="s">
        <v>20</v>
      </c>
      <c r="P60" s="7"/>
      <c r="Q60" s="7"/>
      <c r="R60" s="9"/>
      <c r="S60" s="15"/>
    </row>
    <row r="61" spans="2:19" ht="99.75" customHeight="1">
      <c r="B61" s="4">
        <f t="shared" si="0"/>
        <v>57</v>
      </c>
      <c r="C61" s="4" t="s">
        <v>86</v>
      </c>
      <c r="D61" s="5" t="s">
        <v>15</v>
      </c>
      <c r="E61" s="6"/>
      <c r="F61" s="7" t="s">
        <v>16</v>
      </c>
      <c r="G61" s="7" t="s">
        <v>84</v>
      </c>
      <c r="H61" s="7" t="s">
        <v>107</v>
      </c>
      <c r="I61" s="5" t="s">
        <v>85</v>
      </c>
      <c r="J61" s="8"/>
      <c r="K61" s="7"/>
      <c r="L61" s="5"/>
      <c r="M61" s="5"/>
      <c r="N61" s="11" t="s">
        <v>87</v>
      </c>
      <c r="O61" s="5" t="s">
        <v>20</v>
      </c>
      <c r="P61" s="7"/>
      <c r="Q61" s="7"/>
      <c r="R61" s="9"/>
      <c r="S61" s="15"/>
    </row>
    <row r="62" spans="2:19" ht="99.75" customHeight="1">
      <c r="B62" s="4">
        <f t="shared" si="0"/>
        <v>58</v>
      </c>
      <c r="C62" s="4" t="s">
        <v>86</v>
      </c>
      <c r="D62" s="5" t="s">
        <v>15</v>
      </c>
      <c r="E62" s="6"/>
      <c r="F62" s="7" t="s">
        <v>16</v>
      </c>
      <c r="G62" s="7" t="s">
        <v>73</v>
      </c>
      <c r="H62" s="12" t="s">
        <v>135</v>
      </c>
      <c r="I62" s="5" t="s">
        <v>85</v>
      </c>
      <c r="J62" s="8"/>
      <c r="K62" s="7"/>
      <c r="L62" s="5"/>
      <c r="M62" s="5"/>
      <c r="N62" s="11" t="s">
        <v>87</v>
      </c>
      <c r="O62" s="5" t="s">
        <v>20</v>
      </c>
      <c r="P62" s="7"/>
      <c r="Q62" s="7"/>
      <c r="R62" s="9"/>
      <c r="S62" s="15"/>
    </row>
    <row r="63" spans="2:19" ht="99.75" customHeight="1">
      <c r="B63" s="4">
        <f t="shared" si="0"/>
        <v>59</v>
      </c>
      <c r="C63" s="4" t="s">
        <v>86</v>
      </c>
      <c r="D63" s="5" t="s">
        <v>15</v>
      </c>
      <c r="E63" s="6"/>
      <c r="F63" s="7" t="s">
        <v>16</v>
      </c>
      <c r="G63" s="7" t="s">
        <v>80</v>
      </c>
      <c r="H63" s="7" t="s">
        <v>81</v>
      </c>
      <c r="I63" s="5" t="s">
        <v>85</v>
      </c>
      <c r="J63" s="8"/>
      <c r="K63" s="7"/>
      <c r="L63" s="5"/>
      <c r="M63" s="5"/>
      <c r="N63" s="11" t="s">
        <v>87</v>
      </c>
      <c r="O63" s="5" t="s">
        <v>20</v>
      </c>
      <c r="P63" s="7"/>
      <c r="Q63" s="7"/>
      <c r="R63" s="9"/>
      <c r="S63" s="15"/>
    </row>
    <row r="64" spans="2:19" ht="99.75" customHeight="1">
      <c r="B64" s="4">
        <f t="shared" si="0"/>
        <v>60</v>
      </c>
      <c r="C64" s="4" t="s">
        <v>86</v>
      </c>
      <c r="D64" s="5" t="s">
        <v>15</v>
      </c>
      <c r="E64" s="6"/>
      <c r="F64" s="7" t="s">
        <v>16</v>
      </c>
      <c r="G64" s="7" t="s">
        <v>112</v>
      </c>
      <c r="H64" s="12" t="s">
        <v>123</v>
      </c>
      <c r="I64" s="5" t="s">
        <v>85</v>
      </c>
      <c r="J64" s="8"/>
      <c r="K64" s="7"/>
      <c r="L64" s="5"/>
      <c r="M64" s="5"/>
      <c r="N64" s="11" t="s">
        <v>87</v>
      </c>
      <c r="O64" s="5" t="s">
        <v>20</v>
      </c>
      <c r="P64" s="7"/>
      <c r="Q64" s="7"/>
      <c r="R64" s="9"/>
      <c r="S64" s="15"/>
    </row>
    <row r="65" spans="2:19" ht="99.75" customHeight="1">
      <c r="B65" s="4">
        <f t="shared" si="0"/>
        <v>61</v>
      </c>
      <c r="C65" s="4" t="s">
        <v>86</v>
      </c>
      <c r="D65" s="5" t="s">
        <v>15</v>
      </c>
      <c r="E65" s="6"/>
      <c r="F65" s="7" t="s">
        <v>16</v>
      </c>
      <c r="G65" s="7" t="s">
        <v>128</v>
      </c>
      <c r="H65" s="7" t="s">
        <v>131</v>
      </c>
      <c r="I65" s="5" t="s">
        <v>85</v>
      </c>
      <c r="J65" s="8"/>
      <c r="K65" s="7"/>
      <c r="L65" s="5"/>
      <c r="M65" s="5"/>
      <c r="N65" s="11" t="s">
        <v>87</v>
      </c>
      <c r="O65" s="5" t="s">
        <v>20</v>
      </c>
      <c r="P65" s="7"/>
      <c r="Q65" s="7"/>
      <c r="R65" s="9"/>
      <c r="S65" s="15"/>
    </row>
    <row r="66" spans="2:19" ht="99.75" customHeight="1">
      <c r="B66" s="4">
        <f t="shared" si="0"/>
        <v>62</v>
      </c>
      <c r="C66" s="4" t="s">
        <v>86</v>
      </c>
      <c r="D66" s="5" t="s">
        <v>15</v>
      </c>
      <c r="E66" s="6"/>
      <c r="F66" s="7" t="s">
        <v>16</v>
      </c>
      <c r="G66" s="7" t="s">
        <v>140</v>
      </c>
      <c r="H66" s="7" t="s">
        <v>141</v>
      </c>
      <c r="I66" s="5" t="s">
        <v>85</v>
      </c>
      <c r="J66" s="8"/>
      <c r="K66" s="7"/>
      <c r="L66" s="5"/>
      <c r="M66" s="5"/>
      <c r="N66" s="11" t="s">
        <v>87</v>
      </c>
      <c r="O66" s="5" t="s">
        <v>20</v>
      </c>
      <c r="P66" s="7"/>
      <c r="Q66" s="7"/>
      <c r="R66" s="9"/>
      <c r="S66" s="15"/>
    </row>
  </sheetData>
  <mergeCells count="14">
    <mergeCell ref="G3:G4"/>
    <mergeCell ref="B3:B4"/>
    <mergeCell ref="C3:C4"/>
    <mergeCell ref="D3:D4"/>
    <mergeCell ref="E3:E4"/>
    <mergeCell ref="F3:F4"/>
    <mergeCell ref="P3:Q3"/>
    <mergeCell ref="R3:R4"/>
    <mergeCell ref="H3:H4"/>
    <mergeCell ref="I3:I4"/>
    <mergeCell ref="J3:K3"/>
    <mergeCell ref="L3:M3"/>
    <mergeCell ref="N3:N4"/>
    <mergeCell ref="O3:O4"/>
  </mergeCells>
  <phoneticPr fontId="2" type="noConversion"/>
  <conditionalFormatting sqref="H14">
    <cfRule type="containsText" dxfId="8" priority="213" operator="containsText" text="무제">
      <formula>NOT(ISERROR(SEARCH("무제",H14)))</formula>
    </cfRule>
    <cfRule type="containsText" dxfId="7" priority="214" operator="containsText" text="완제">
      <formula>NOT(ISERROR(SEARCH("완제",H14)))</formula>
    </cfRule>
    <cfRule type="cellIs" dxfId="6" priority="215" operator="lessThan">
      <formula>0</formula>
    </cfRule>
    <cfRule type="containsText" dxfId="5" priority="216" operator="containsText" text="FALSE">
      <formula>NOT(ISERROR(SEARCH("FALSE",H14)))</formula>
    </cfRule>
    <cfRule type="containsText" dxfId="4" priority="217" operator="containsText" text="무제">
      <formula>NOT(ISERROR(SEARCH("무제",H14)))</formula>
    </cfRule>
    <cfRule type="containsText" dxfId="3" priority="218" operator="containsText" text="완제">
      <formula>NOT(ISERROR(SEARCH("완제",H14)))</formula>
    </cfRule>
    <cfRule type="cellIs" dxfId="2" priority="219" operator="lessThan">
      <formula>0</formula>
    </cfRule>
    <cfRule type="containsText" dxfId="1" priority="220" operator="containsText" text="FALSE">
      <formula>NOT(ISERROR(SEARCH("FALSE",H14)))</formula>
    </cfRule>
  </conditionalFormatting>
  <conditionalFormatting sqref="N5:N66">
    <cfRule type="containsText" dxfId="0" priority="1" operator="containsText" text="미준수">
      <formula>NOT(ISERROR(SEARCH("미준수",N5)))</formula>
    </cfRule>
  </conditionalFormatting>
  <dataValidations count="1">
    <dataValidation type="list" allowBlank="1" showInputMessage="1" showErrorMessage="1" sqref="O5:O66" xr:uid="{E7B78C9B-6D49-4422-99E5-C0739B51BBD6}">
      <formula1>"O,X"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송승훈님</dc:creator>
  <cp:lastModifiedBy>희성 장</cp:lastModifiedBy>
  <dcterms:created xsi:type="dcterms:W3CDTF">2025-12-03T05:11:48Z</dcterms:created>
  <dcterms:modified xsi:type="dcterms:W3CDTF">2026-06-12T14:23:27Z</dcterms:modified>
</cp:coreProperties>
</file>